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a/Downloads/GT/2025-2026/Falll 2025/ME 4710(ML)/Hw 8 : Proj/"/>
    </mc:Choice>
  </mc:AlternateContent>
  <xr:revisionPtr revIDLastSave="0" documentId="13_ncr:1_{0146083F-3715-8041-8028-84FE37F26904}" xr6:coauthVersionLast="47" xr6:coauthVersionMax="47" xr10:uidLastSave="{00000000-0000-0000-0000-000000000000}"/>
  <bookViews>
    <workbookView xWindow="0" yWindow="500" windowWidth="28800" windowHeight="16260" xr2:uid="{1A42E600-0456-064B-9185-AC83975F053D}"/>
  </bookViews>
  <sheets>
    <sheet name="Samples" sheetId="3" r:id="rId1"/>
    <sheet name="Top-Middle layer" sheetId="1" r:id="rId2"/>
    <sheet name="Middle Bottom layer" sheetId="2" r:id="rId3"/>
    <sheet name="Non-HML" sheetId="4" r:id="rId4"/>
    <sheet name="Lattice Plo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3" l="1"/>
  <c r="P19" i="3" s="1"/>
  <c r="Q19" i="3" s="1"/>
  <c r="I19" i="3"/>
  <c r="N18" i="3"/>
  <c r="P18" i="3" s="1"/>
  <c r="Q18" i="3" s="1"/>
  <c r="I18" i="3"/>
  <c r="N17" i="3"/>
  <c r="P17" i="3" s="1"/>
  <c r="Q17" i="3" s="1"/>
  <c r="I17" i="3"/>
  <c r="N16" i="3"/>
  <c r="P16" i="3" s="1"/>
  <c r="Q16" i="3" s="1"/>
  <c r="I16" i="3"/>
  <c r="N15" i="3"/>
  <c r="P15" i="3" s="1"/>
  <c r="Q15" i="3" s="1"/>
  <c r="I15" i="3"/>
  <c r="N14" i="3"/>
  <c r="P14" i="3" s="1"/>
  <c r="Q14" i="3" s="1"/>
  <c r="I14" i="3"/>
  <c r="N13" i="3"/>
  <c r="P13" i="3" s="1"/>
  <c r="Q13" i="3" s="1"/>
  <c r="I13" i="3"/>
  <c r="N12" i="3"/>
  <c r="P12" i="3" s="1"/>
  <c r="Q12" i="3" s="1"/>
  <c r="I12" i="3"/>
  <c r="N11" i="3"/>
  <c r="P11" i="3" s="1"/>
  <c r="Q11" i="3" s="1"/>
  <c r="I11" i="3"/>
  <c r="N10" i="3"/>
  <c r="P10" i="3" s="1"/>
  <c r="Q10" i="3" s="1"/>
  <c r="I10" i="3"/>
  <c r="N9" i="3"/>
  <c r="P9" i="3" s="1"/>
  <c r="Q9" i="3" s="1"/>
  <c r="I9" i="3"/>
  <c r="N8" i="3"/>
  <c r="P8" i="3" s="1"/>
  <c r="Q8" i="3" s="1"/>
  <c r="I8" i="3"/>
  <c r="N7" i="3"/>
  <c r="P7" i="3" s="1"/>
  <c r="Q7" i="3" s="1"/>
  <c r="I7" i="3"/>
  <c r="N6" i="3"/>
  <c r="P6" i="3" s="1"/>
  <c r="Q6" i="3" s="1"/>
  <c r="I6" i="3"/>
  <c r="N5" i="3"/>
  <c r="P5" i="3" s="1"/>
  <c r="Q5" i="3" s="1"/>
  <c r="I5" i="3"/>
  <c r="N4" i="3"/>
  <c r="P4" i="3" s="1"/>
  <c r="Q4" i="3" s="1"/>
  <c r="I4" i="3"/>
  <c r="N3" i="3"/>
  <c r="P3" i="3" s="1"/>
  <c r="Q3" i="3" s="1"/>
  <c r="I3" i="3"/>
  <c r="N2" i="3"/>
  <c r="P2" i="3" s="1"/>
  <c r="Q2" i="3" s="1"/>
  <c r="I2" i="3"/>
</calcChain>
</file>

<file path=xl/sharedStrings.xml><?xml version="1.0" encoding="utf-8"?>
<sst xmlns="http://schemas.openxmlformats.org/spreadsheetml/2006/main" count="96" uniqueCount="50">
  <si>
    <t>CO_W</t>
  </si>
  <si>
    <t>NH_W</t>
  </si>
  <si>
    <t>NH_AperCO_A</t>
  </si>
  <si>
    <t>mer solubility parameter</t>
  </si>
  <si>
    <t>HS%</t>
  </si>
  <si>
    <t>SS%</t>
  </si>
  <si>
    <t>% aromatic</t>
  </si>
  <si>
    <t>% cyclic</t>
  </si>
  <si>
    <t>E_coh_density</t>
  </si>
  <si>
    <t>nEff</t>
  </si>
  <si>
    <t>sol_pctWgt</t>
  </si>
  <si>
    <t>core_pctWgt</t>
  </si>
  <si>
    <t>elasticLink_Mtw</t>
  </si>
  <si>
    <t>Mtw</t>
  </si>
  <si>
    <t>c per kg</t>
  </si>
  <si>
    <t>ch per kg</t>
  </si>
  <si>
    <t>ch2 per kg</t>
  </si>
  <si>
    <t>ch3 per kg</t>
  </si>
  <si>
    <t>c6h6 per kg</t>
  </si>
  <si>
    <t>co per kg</t>
  </si>
  <si>
    <t>nh per kg</t>
  </si>
  <si>
    <t>o per kg</t>
  </si>
  <si>
    <t>nh2 per kg</t>
  </si>
  <si>
    <t>iso_mw</t>
  </si>
  <si>
    <t>iso_density</t>
  </si>
  <si>
    <t>poly_mw</t>
  </si>
  <si>
    <t>poly_density</t>
  </si>
  <si>
    <t>NCO:OH Index</t>
  </si>
  <si>
    <t>Chain length (units)</t>
  </si>
  <si>
    <t>Sample</t>
  </si>
  <si>
    <t>Isocyanate</t>
  </si>
  <si>
    <t>NCO groups</t>
  </si>
  <si>
    <t>Polyol</t>
  </si>
  <si>
    <t>OH groups</t>
  </si>
  <si>
    <t>polyol_mw</t>
  </si>
  <si>
    <t>polyol_density</t>
  </si>
  <si>
    <t>vol of iso(ml)</t>
  </si>
  <si>
    <t>vol of polyol (ml)</t>
  </si>
  <si>
    <t>weight of polymer (g)</t>
  </si>
  <si>
    <t>Hexamethylene diisocyanate</t>
  </si>
  <si>
    <t>PTMEG 1000</t>
  </si>
  <si>
    <t>PCL 900</t>
  </si>
  <si>
    <t>Isophorone diisocyanate</t>
  </si>
  <si>
    <t>Toluene diisocyanate</t>
  </si>
  <si>
    <t>iso</t>
  </si>
  <si>
    <t>polyol</t>
  </si>
  <si>
    <t>index</t>
  </si>
  <si>
    <t>Strain at Break</t>
  </si>
  <si>
    <t>Stress at break(MPa)</t>
  </si>
  <si>
    <t>Tan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</si>
</sst>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D970F-C0D9-B64E-9DF6-B41C4BDF3017}">
  <dimension ref="A1:Q19"/>
  <sheetViews>
    <sheetView tabSelected="1" workbookViewId="0">
      <selection activeCell="B25" sqref="B25"/>
    </sheetView>
  </sheetViews>
  <sheetFormatPr baseColWidth="10" defaultRowHeight="16" x14ac:dyDescent="0.2"/>
  <sheetData>
    <row r="1" spans="1:17" ht="51" x14ac:dyDescent="0.2">
      <c r="A1" s="3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27</v>
      </c>
      <c r="G1" s="1" t="s">
        <v>23</v>
      </c>
      <c r="H1" s="1" t="s">
        <v>24</v>
      </c>
      <c r="I1" s="3" t="s">
        <v>28</v>
      </c>
      <c r="J1" s="1" t="s">
        <v>34</v>
      </c>
      <c r="K1" s="1" t="s">
        <v>35</v>
      </c>
      <c r="L1" s="3" t="s">
        <v>36</v>
      </c>
      <c r="M1" s="3" t="s">
        <v>37</v>
      </c>
      <c r="N1" s="3" t="s">
        <v>38</v>
      </c>
      <c r="O1" s="6"/>
      <c r="P1" s="3" t="s">
        <v>4</v>
      </c>
      <c r="Q1" s="3" t="s">
        <v>5</v>
      </c>
    </row>
    <row r="2" spans="1:17" x14ac:dyDescent="0.2">
      <c r="A2" s="1">
        <v>1</v>
      </c>
      <c r="B2" s="5" t="s">
        <v>39</v>
      </c>
      <c r="C2" s="5">
        <v>2</v>
      </c>
      <c r="D2" s="5" t="s">
        <v>40</v>
      </c>
      <c r="E2" s="5">
        <v>2</v>
      </c>
      <c r="F2" s="5">
        <v>1</v>
      </c>
      <c r="G2">
        <v>168.2</v>
      </c>
      <c r="H2">
        <v>1.04</v>
      </c>
      <c r="I2">
        <f>1000/72.11</f>
        <v>13.867702121758425</v>
      </c>
      <c r="J2">
        <v>1000</v>
      </c>
      <c r="K2">
        <v>0.97399999999999998</v>
      </c>
      <c r="L2">
        <v>2</v>
      </c>
      <c r="M2">
        <v>12</v>
      </c>
      <c r="N2">
        <f t="shared" ref="N2:N19" si="0">L2*H2+M2*K2</f>
        <v>13.767999999999999</v>
      </c>
      <c r="P2">
        <f t="shared" ref="P2:P19" si="1">(L2*H2*F2)/N2</f>
        <v>0.15107495642068566</v>
      </c>
      <c r="Q2">
        <f>1-P2</f>
        <v>0.84892504357931431</v>
      </c>
    </row>
    <row r="3" spans="1:17" x14ac:dyDescent="0.2">
      <c r="A3" s="1">
        <v>2</v>
      </c>
      <c r="B3" s="5" t="s">
        <v>39</v>
      </c>
      <c r="C3" s="5">
        <v>2</v>
      </c>
      <c r="D3" s="5" t="s">
        <v>40</v>
      </c>
      <c r="E3" s="5">
        <v>2</v>
      </c>
      <c r="F3" s="5">
        <v>1.2</v>
      </c>
      <c r="G3">
        <v>168.2</v>
      </c>
      <c r="H3">
        <v>1.04</v>
      </c>
      <c r="I3">
        <f t="shared" ref="I3:I4" si="2">1000/72.11</f>
        <v>13.867702121758425</v>
      </c>
      <c r="J3">
        <v>1000</v>
      </c>
      <c r="K3">
        <v>0.97399999999999998</v>
      </c>
      <c r="L3">
        <v>2</v>
      </c>
      <c r="M3">
        <v>10</v>
      </c>
      <c r="N3">
        <f t="shared" si="0"/>
        <v>11.82</v>
      </c>
      <c r="P3">
        <f t="shared" si="1"/>
        <v>0.21116751269035533</v>
      </c>
      <c r="Q3">
        <f t="shared" ref="Q3:Q19" si="3">1-P3</f>
        <v>0.78883248730964461</v>
      </c>
    </row>
    <row r="4" spans="1:17" x14ac:dyDescent="0.2">
      <c r="A4" s="1">
        <v>3</v>
      </c>
      <c r="B4" s="5" t="s">
        <v>39</v>
      </c>
      <c r="C4" s="5">
        <v>2</v>
      </c>
      <c r="D4" s="5" t="s">
        <v>40</v>
      </c>
      <c r="E4" s="5">
        <v>2</v>
      </c>
      <c r="F4" s="5">
        <v>1.5</v>
      </c>
      <c r="G4">
        <v>168.2</v>
      </c>
      <c r="H4">
        <v>1.04</v>
      </c>
      <c r="I4">
        <f t="shared" si="2"/>
        <v>13.867702121758425</v>
      </c>
      <c r="J4">
        <v>1000</v>
      </c>
      <c r="K4">
        <v>0.97399999999999998</v>
      </c>
      <c r="L4">
        <v>2</v>
      </c>
      <c r="M4">
        <v>8</v>
      </c>
      <c r="N4">
        <f t="shared" si="0"/>
        <v>9.8719999999999999</v>
      </c>
      <c r="P4">
        <f t="shared" si="1"/>
        <v>0.31604538087520262</v>
      </c>
      <c r="Q4">
        <f t="shared" si="3"/>
        <v>0.68395461912479738</v>
      </c>
    </row>
    <row r="5" spans="1:17" x14ac:dyDescent="0.2">
      <c r="A5" s="1">
        <v>4</v>
      </c>
      <c r="B5" s="5" t="s">
        <v>39</v>
      </c>
      <c r="C5" s="5">
        <v>2</v>
      </c>
      <c r="D5" s="5" t="s">
        <v>41</v>
      </c>
      <c r="E5" s="5">
        <v>3</v>
      </c>
      <c r="F5" s="5">
        <v>1</v>
      </c>
      <c r="G5">
        <v>168.2</v>
      </c>
      <c r="H5">
        <v>1.04</v>
      </c>
      <c r="I5">
        <f>900/(3*114.14)</f>
        <v>2.6283511477133343</v>
      </c>
      <c r="J5">
        <v>900</v>
      </c>
      <c r="K5">
        <v>1.08</v>
      </c>
      <c r="L5">
        <v>2</v>
      </c>
      <c r="M5">
        <v>7.1</v>
      </c>
      <c r="N5">
        <f t="shared" si="0"/>
        <v>9.7480000000000011</v>
      </c>
      <c r="P5">
        <f t="shared" si="1"/>
        <v>0.21337710299548623</v>
      </c>
      <c r="Q5">
        <f t="shared" si="3"/>
        <v>0.78662289700451371</v>
      </c>
    </row>
    <row r="6" spans="1:17" x14ac:dyDescent="0.2">
      <c r="A6" s="1">
        <v>5</v>
      </c>
      <c r="B6" s="5" t="s">
        <v>39</v>
      </c>
      <c r="C6" s="5">
        <v>2</v>
      </c>
      <c r="D6" s="5" t="s">
        <v>41</v>
      </c>
      <c r="E6" s="5">
        <v>3</v>
      </c>
      <c r="F6" s="5">
        <v>1.2</v>
      </c>
      <c r="G6">
        <v>168.2</v>
      </c>
      <c r="H6">
        <v>1.04</v>
      </c>
      <c r="I6">
        <f t="shared" ref="I6:I7" si="4">900/(3*114.14)</f>
        <v>2.6283511477133343</v>
      </c>
      <c r="J6">
        <v>900</v>
      </c>
      <c r="K6">
        <v>1.08</v>
      </c>
      <c r="L6">
        <v>2</v>
      </c>
      <c r="M6">
        <v>5.94</v>
      </c>
      <c r="N6">
        <f t="shared" si="0"/>
        <v>8.4952000000000005</v>
      </c>
      <c r="P6">
        <f t="shared" si="1"/>
        <v>0.293812976739806</v>
      </c>
      <c r="Q6">
        <f t="shared" si="3"/>
        <v>0.706187023260194</v>
      </c>
    </row>
    <row r="7" spans="1:17" x14ac:dyDescent="0.2">
      <c r="A7" s="1">
        <v>6</v>
      </c>
      <c r="B7" s="5" t="s">
        <v>39</v>
      </c>
      <c r="C7" s="5">
        <v>2</v>
      </c>
      <c r="D7" s="5" t="s">
        <v>41</v>
      </c>
      <c r="E7" s="5">
        <v>3</v>
      </c>
      <c r="F7" s="5">
        <v>1.5</v>
      </c>
      <c r="G7">
        <v>168.2</v>
      </c>
      <c r="H7">
        <v>1.04</v>
      </c>
      <c r="I7">
        <f t="shared" si="4"/>
        <v>2.6283511477133343</v>
      </c>
      <c r="J7">
        <v>900</v>
      </c>
      <c r="K7">
        <v>1.08</v>
      </c>
      <c r="L7">
        <v>2</v>
      </c>
      <c r="M7">
        <v>4.75</v>
      </c>
      <c r="N7">
        <f t="shared" si="0"/>
        <v>7.2100000000000009</v>
      </c>
      <c r="P7">
        <f t="shared" si="1"/>
        <v>0.43273231622746183</v>
      </c>
      <c r="Q7">
        <f t="shared" si="3"/>
        <v>0.56726768377253811</v>
      </c>
    </row>
    <row r="8" spans="1:17" x14ac:dyDescent="0.2">
      <c r="A8" s="1">
        <v>7</v>
      </c>
      <c r="B8" s="5" t="s">
        <v>42</v>
      </c>
      <c r="C8" s="5">
        <v>2</v>
      </c>
      <c r="D8" s="5" t="s">
        <v>40</v>
      </c>
      <c r="E8" s="5">
        <v>2</v>
      </c>
      <c r="F8" s="5">
        <v>1</v>
      </c>
      <c r="G8">
        <v>222.28800000000001</v>
      </c>
      <c r="H8">
        <v>1.056</v>
      </c>
      <c r="I8">
        <f>1000/72.11</f>
        <v>13.867702121758425</v>
      </c>
      <c r="J8">
        <v>1000</v>
      </c>
      <c r="K8">
        <v>0.97399999999999998</v>
      </c>
      <c r="L8">
        <v>2</v>
      </c>
      <c r="M8">
        <v>9</v>
      </c>
      <c r="N8">
        <f t="shared" si="0"/>
        <v>10.878</v>
      </c>
      <c r="P8">
        <f t="shared" si="1"/>
        <v>0.19415333701047988</v>
      </c>
      <c r="Q8">
        <f t="shared" si="3"/>
        <v>0.80584666298952012</v>
      </c>
    </row>
    <row r="9" spans="1:17" x14ac:dyDescent="0.2">
      <c r="A9" s="1">
        <v>8</v>
      </c>
      <c r="B9" s="5" t="s">
        <v>42</v>
      </c>
      <c r="C9" s="5">
        <v>2</v>
      </c>
      <c r="D9" s="5" t="s">
        <v>40</v>
      </c>
      <c r="E9" s="5">
        <v>2</v>
      </c>
      <c r="F9" s="5">
        <v>1.2</v>
      </c>
      <c r="G9">
        <v>222.28800000000001</v>
      </c>
      <c r="H9">
        <v>1.056</v>
      </c>
      <c r="I9">
        <f t="shared" ref="I9:I10" si="5">1000/72.11</f>
        <v>13.867702121758425</v>
      </c>
      <c r="J9">
        <v>1000</v>
      </c>
      <c r="K9">
        <v>0.97399999999999998</v>
      </c>
      <c r="L9">
        <v>2</v>
      </c>
      <c r="M9">
        <v>7.5</v>
      </c>
      <c r="N9">
        <f t="shared" si="0"/>
        <v>9.4169999999999998</v>
      </c>
      <c r="P9">
        <f t="shared" si="1"/>
        <v>0.26913029627269835</v>
      </c>
      <c r="Q9">
        <f t="shared" si="3"/>
        <v>0.73086970372730165</v>
      </c>
    </row>
    <row r="10" spans="1:17" x14ac:dyDescent="0.2">
      <c r="A10" s="1">
        <v>9</v>
      </c>
      <c r="B10" s="5" t="s">
        <v>42</v>
      </c>
      <c r="C10" s="5">
        <v>2</v>
      </c>
      <c r="D10" s="5" t="s">
        <v>40</v>
      </c>
      <c r="E10" s="5">
        <v>2</v>
      </c>
      <c r="F10" s="5">
        <v>1.5</v>
      </c>
      <c r="G10">
        <v>222.28800000000001</v>
      </c>
      <c r="H10">
        <v>1.056</v>
      </c>
      <c r="I10">
        <f t="shared" si="5"/>
        <v>13.867702121758425</v>
      </c>
      <c r="J10">
        <v>1000</v>
      </c>
      <c r="K10">
        <v>0.97399999999999998</v>
      </c>
      <c r="L10">
        <v>2</v>
      </c>
      <c r="M10">
        <v>6</v>
      </c>
      <c r="N10">
        <f t="shared" si="0"/>
        <v>7.9559999999999995</v>
      </c>
      <c r="P10">
        <f t="shared" si="1"/>
        <v>0.39819004524886881</v>
      </c>
      <c r="Q10">
        <f t="shared" si="3"/>
        <v>0.60180995475113119</v>
      </c>
    </row>
    <row r="11" spans="1:17" x14ac:dyDescent="0.2">
      <c r="A11" s="1">
        <v>10</v>
      </c>
      <c r="B11" s="5" t="s">
        <v>42</v>
      </c>
      <c r="C11" s="5">
        <v>2</v>
      </c>
      <c r="D11" s="5" t="s">
        <v>41</v>
      </c>
      <c r="E11" s="5">
        <v>3</v>
      </c>
      <c r="F11" s="5">
        <v>1</v>
      </c>
      <c r="G11">
        <v>222.28800000000001</v>
      </c>
      <c r="H11">
        <v>1.056</v>
      </c>
      <c r="I11">
        <f>900/(3*114.14)</f>
        <v>2.6283511477133343</v>
      </c>
      <c r="J11">
        <v>900</v>
      </c>
      <c r="K11">
        <v>1.08</v>
      </c>
      <c r="L11">
        <v>2</v>
      </c>
      <c r="M11">
        <v>5.4</v>
      </c>
      <c r="N11">
        <f t="shared" si="0"/>
        <v>7.9440000000000008</v>
      </c>
      <c r="P11">
        <f t="shared" si="1"/>
        <v>0.26586102719033233</v>
      </c>
      <c r="Q11">
        <f t="shared" si="3"/>
        <v>0.73413897280966767</v>
      </c>
    </row>
    <row r="12" spans="1:17" x14ac:dyDescent="0.2">
      <c r="A12" s="1">
        <v>11</v>
      </c>
      <c r="B12" s="5" t="s">
        <v>42</v>
      </c>
      <c r="C12" s="5">
        <v>2</v>
      </c>
      <c r="D12" s="5" t="s">
        <v>41</v>
      </c>
      <c r="E12" s="5">
        <v>3</v>
      </c>
      <c r="F12" s="5">
        <v>1.2</v>
      </c>
      <c r="G12">
        <v>222.28800000000001</v>
      </c>
      <c r="H12">
        <v>1.056</v>
      </c>
      <c r="I12">
        <f t="shared" ref="I12:I13" si="6">900/(3*114.14)</f>
        <v>2.6283511477133343</v>
      </c>
      <c r="J12">
        <v>900</v>
      </c>
      <c r="K12">
        <v>1.08</v>
      </c>
      <c r="L12">
        <v>2</v>
      </c>
      <c r="M12">
        <v>4.5</v>
      </c>
      <c r="N12">
        <f t="shared" si="0"/>
        <v>6.9720000000000004</v>
      </c>
      <c r="P12">
        <f t="shared" si="1"/>
        <v>0.36351118760757317</v>
      </c>
      <c r="Q12">
        <f t="shared" si="3"/>
        <v>0.63648881239242683</v>
      </c>
    </row>
    <row r="13" spans="1:17" x14ac:dyDescent="0.2">
      <c r="A13" s="1">
        <v>12</v>
      </c>
      <c r="B13" s="5" t="s">
        <v>42</v>
      </c>
      <c r="C13" s="5">
        <v>2</v>
      </c>
      <c r="D13" s="5" t="s">
        <v>41</v>
      </c>
      <c r="E13" s="5">
        <v>3</v>
      </c>
      <c r="F13" s="5">
        <v>1.5</v>
      </c>
      <c r="G13">
        <v>222.28800000000001</v>
      </c>
      <c r="H13">
        <v>1.056</v>
      </c>
      <c r="I13">
        <f t="shared" si="6"/>
        <v>2.6283511477133343</v>
      </c>
      <c r="J13">
        <v>900</v>
      </c>
      <c r="K13">
        <v>1.08</v>
      </c>
      <c r="L13">
        <v>2</v>
      </c>
      <c r="M13">
        <v>3.6</v>
      </c>
      <c r="N13">
        <f t="shared" si="0"/>
        <v>6</v>
      </c>
      <c r="P13">
        <f t="shared" si="1"/>
        <v>0.52800000000000002</v>
      </c>
      <c r="Q13">
        <f t="shared" si="3"/>
        <v>0.47199999999999998</v>
      </c>
    </row>
    <row r="14" spans="1:17" x14ac:dyDescent="0.2">
      <c r="A14" s="1">
        <v>13</v>
      </c>
      <c r="B14" s="5" t="s">
        <v>43</v>
      </c>
      <c r="C14" s="5">
        <v>2</v>
      </c>
      <c r="D14" s="5" t="s">
        <v>40</v>
      </c>
      <c r="E14" s="5">
        <v>2</v>
      </c>
      <c r="F14" s="5">
        <v>1</v>
      </c>
      <c r="G14">
        <v>174.2</v>
      </c>
      <c r="H14">
        <v>1.214</v>
      </c>
      <c r="I14">
        <f>1000/72.11</f>
        <v>13.867702121758425</v>
      </c>
      <c r="J14">
        <v>1000</v>
      </c>
      <c r="K14">
        <v>0.97399999999999998</v>
      </c>
      <c r="L14">
        <v>2</v>
      </c>
      <c r="M14">
        <v>11.5</v>
      </c>
      <c r="N14">
        <f t="shared" si="0"/>
        <v>13.629000000000001</v>
      </c>
      <c r="P14">
        <f t="shared" si="1"/>
        <v>0.17814953408173745</v>
      </c>
      <c r="Q14">
        <f t="shared" si="3"/>
        <v>0.82185046591826261</v>
      </c>
    </row>
    <row r="15" spans="1:17" x14ac:dyDescent="0.2">
      <c r="A15" s="1">
        <v>14</v>
      </c>
      <c r="B15" s="5" t="s">
        <v>43</v>
      </c>
      <c r="C15" s="5">
        <v>2</v>
      </c>
      <c r="D15" s="5" t="s">
        <v>40</v>
      </c>
      <c r="E15" s="5">
        <v>2</v>
      </c>
      <c r="F15" s="5">
        <v>1.2</v>
      </c>
      <c r="G15">
        <v>174.2</v>
      </c>
      <c r="H15">
        <v>1.214</v>
      </c>
      <c r="I15">
        <f t="shared" ref="I15:I16" si="7">1000/72.11</f>
        <v>13.867702121758425</v>
      </c>
      <c r="J15">
        <v>1000</v>
      </c>
      <c r="K15">
        <v>0.97399999999999998</v>
      </c>
      <c r="L15">
        <v>2</v>
      </c>
      <c r="M15">
        <v>9.6</v>
      </c>
      <c r="N15">
        <f t="shared" si="0"/>
        <v>11.778399999999998</v>
      </c>
      <c r="P15">
        <f t="shared" si="1"/>
        <v>0.2473680635739999</v>
      </c>
      <c r="Q15">
        <f t="shared" si="3"/>
        <v>0.75263193642600013</v>
      </c>
    </row>
    <row r="16" spans="1:17" x14ac:dyDescent="0.2">
      <c r="A16" s="1">
        <v>15</v>
      </c>
      <c r="B16" s="5" t="s">
        <v>43</v>
      </c>
      <c r="C16" s="5">
        <v>2</v>
      </c>
      <c r="D16" s="5" t="s">
        <v>40</v>
      </c>
      <c r="E16" s="5">
        <v>2</v>
      </c>
      <c r="F16" s="5">
        <v>1.5</v>
      </c>
      <c r="G16">
        <v>174.2</v>
      </c>
      <c r="H16">
        <v>1.214</v>
      </c>
      <c r="I16">
        <f t="shared" si="7"/>
        <v>13.867702121758425</v>
      </c>
      <c r="J16">
        <v>1000</v>
      </c>
      <c r="K16">
        <v>0.97399999999999998</v>
      </c>
      <c r="L16">
        <v>2</v>
      </c>
      <c r="M16">
        <v>7.6</v>
      </c>
      <c r="N16">
        <f t="shared" si="0"/>
        <v>9.8303999999999991</v>
      </c>
      <c r="P16">
        <f t="shared" si="1"/>
        <v>0.3704833984375</v>
      </c>
      <c r="Q16">
        <f t="shared" si="3"/>
        <v>0.6295166015625</v>
      </c>
    </row>
    <row r="17" spans="1:17" x14ac:dyDescent="0.2">
      <c r="A17" s="1">
        <v>16</v>
      </c>
      <c r="B17" s="5" t="s">
        <v>43</v>
      </c>
      <c r="C17" s="5">
        <v>2</v>
      </c>
      <c r="D17" s="5" t="s">
        <v>41</v>
      </c>
      <c r="E17" s="5">
        <v>3</v>
      </c>
      <c r="F17" s="5">
        <v>1</v>
      </c>
      <c r="G17">
        <v>174.2</v>
      </c>
      <c r="H17">
        <v>1.214</v>
      </c>
      <c r="I17">
        <f>900/(3*114.14)</f>
        <v>2.6283511477133343</v>
      </c>
      <c r="J17">
        <v>900</v>
      </c>
      <c r="K17">
        <v>1.08</v>
      </c>
      <c r="L17">
        <v>2</v>
      </c>
      <c r="M17">
        <v>6.9</v>
      </c>
      <c r="N17">
        <f t="shared" si="0"/>
        <v>9.8800000000000008</v>
      </c>
      <c r="P17">
        <f t="shared" si="1"/>
        <v>0.24574898785425098</v>
      </c>
      <c r="Q17">
        <f t="shared" si="3"/>
        <v>0.75425101214574908</v>
      </c>
    </row>
    <row r="18" spans="1:17" x14ac:dyDescent="0.2">
      <c r="A18" s="1">
        <v>17</v>
      </c>
      <c r="B18" s="5" t="s">
        <v>43</v>
      </c>
      <c r="C18" s="5">
        <v>2</v>
      </c>
      <c r="D18" s="5" t="s">
        <v>41</v>
      </c>
      <c r="E18" s="5">
        <v>3</v>
      </c>
      <c r="F18" s="5">
        <v>1.2</v>
      </c>
      <c r="G18">
        <v>174.2</v>
      </c>
      <c r="H18">
        <v>1.214</v>
      </c>
      <c r="I18">
        <f t="shared" ref="I18:I19" si="8">900/(3*114.14)</f>
        <v>2.6283511477133343</v>
      </c>
      <c r="J18">
        <v>900</v>
      </c>
      <c r="K18">
        <v>1.08</v>
      </c>
      <c r="L18">
        <v>2</v>
      </c>
      <c r="M18">
        <v>5.75</v>
      </c>
      <c r="N18">
        <f t="shared" si="0"/>
        <v>8.6380000000000017</v>
      </c>
      <c r="P18">
        <f t="shared" si="1"/>
        <v>0.33730030099560077</v>
      </c>
      <c r="Q18">
        <f t="shared" si="3"/>
        <v>0.66269969900439918</v>
      </c>
    </row>
    <row r="19" spans="1:17" x14ac:dyDescent="0.2">
      <c r="A19" s="1">
        <v>18</v>
      </c>
      <c r="B19" s="5" t="s">
        <v>43</v>
      </c>
      <c r="C19" s="5">
        <v>2</v>
      </c>
      <c r="D19" s="5" t="s">
        <v>41</v>
      </c>
      <c r="E19" s="5">
        <v>3</v>
      </c>
      <c r="F19" s="5">
        <v>1.5</v>
      </c>
      <c r="G19">
        <v>174.2</v>
      </c>
      <c r="H19">
        <v>1.214</v>
      </c>
      <c r="I19">
        <f t="shared" si="8"/>
        <v>2.6283511477133343</v>
      </c>
      <c r="J19">
        <v>900</v>
      </c>
      <c r="K19">
        <v>1.08</v>
      </c>
      <c r="L19">
        <v>2</v>
      </c>
      <c r="M19">
        <v>4.5999999999999996</v>
      </c>
      <c r="N19">
        <f t="shared" si="0"/>
        <v>7.3959999999999999</v>
      </c>
      <c r="P19">
        <f t="shared" si="1"/>
        <v>0.49242833964305027</v>
      </c>
      <c r="Q19">
        <f t="shared" si="3"/>
        <v>0.50757166035694978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F8F66-DAFC-5B43-993A-F343A0A8502C}">
  <dimension ref="A1:Q19"/>
  <sheetViews>
    <sheetView workbookViewId="0">
      <selection activeCell="C19" sqref="A1:C19"/>
    </sheetView>
  </sheetViews>
  <sheetFormatPr baseColWidth="10" defaultRowHeight="16" x14ac:dyDescent="0.2"/>
  <sheetData>
    <row r="1" spans="1:17" x14ac:dyDescent="0.2">
      <c r="A1" s="1" t="s">
        <v>47</v>
      </c>
      <c r="B1" s="1" t="s">
        <v>48</v>
      </c>
      <c r="C1" s="1" t="s">
        <v>49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2">
      <c r="A2">
        <v>5.7211112644937225</v>
      </c>
      <c r="B2" s="7">
        <v>17.997674159999999</v>
      </c>
      <c r="C2">
        <v>4.0628400000000002E-2</v>
      </c>
      <c r="D2" s="2">
        <v>1704.37</v>
      </c>
      <c r="E2" s="2">
        <v>3316.57</v>
      </c>
      <c r="F2" s="2">
        <v>0.3629</v>
      </c>
      <c r="G2">
        <v>17.698864910126314</v>
      </c>
      <c r="H2">
        <v>0.15107495642068566</v>
      </c>
      <c r="I2">
        <v>0.84892504357931431</v>
      </c>
      <c r="J2">
        <v>0</v>
      </c>
      <c r="K2">
        <v>0</v>
      </c>
      <c r="L2">
        <v>362.90085595829038</v>
      </c>
      <c r="M2">
        <v>0</v>
      </c>
      <c r="N2">
        <v>3.66</v>
      </c>
      <c r="O2">
        <v>96.34</v>
      </c>
      <c r="P2">
        <v>108415702.8</v>
      </c>
      <c r="Q2">
        <v>108415702.8</v>
      </c>
    </row>
    <row r="3" spans="1:17" x14ac:dyDescent="0.2">
      <c r="A3">
        <v>7.7797224124272777</v>
      </c>
      <c r="B3" s="7">
        <v>23.940608189999999</v>
      </c>
      <c r="C3">
        <v>2.2374266666666667E-2</v>
      </c>
      <c r="D3" s="2">
        <v>1692.13</v>
      </c>
      <c r="E3" s="2">
        <v>3319.53</v>
      </c>
      <c r="F3" s="2">
        <v>0.35270000000000001</v>
      </c>
      <c r="G3">
        <v>17.763726675259633</v>
      </c>
      <c r="H3">
        <v>0.21116751269035533</v>
      </c>
      <c r="I3">
        <v>0.78883248730964461</v>
      </c>
      <c r="J3">
        <v>0</v>
      </c>
      <c r="K3">
        <v>0</v>
      </c>
      <c r="L3">
        <v>368.54008026904796</v>
      </c>
      <c r="M3">
        <v>0</v>
      </c>
      <c r="N3">
        <v>100</v>
      </c>
      <c r="O3">
        <v>0</v>
      </c>
      <c r="P3">
        <v>0</v>
      </c>
      <c r="Q3">
        <v>68566</v>
      </c>
    </row>
    <row r="4" spans="1:17" x14ac:dyDescent="0.2">
      <c r="A4">
        <v>5.4716666539510115</v>
      </c>
      <c r="B4" s="7">
        <v>21.963791319999999</v>
      </c>
      <c r="C4">
        <v>2.2475033333333335E-2</v>
      </c>
      <c r="D4" s="2">
        <v>1701.26</v>
      </c>
      <c r="E4" s="2">
        <v>3318.78</v>
      </c>
      <c r="F4" s="2">
        <v>0.36123300000000003</v>
      </c>
      <c r="G4">
        <v>17.795131019638479</v>
      </c>
      <c r="H4">
        <v>0.31604538087520262</v>
      </c>
      <c r="I4">
        <v>0.68395461912479738</v>
      </c>
      <c r="J4">
        <v>0</v>
      </c>
      <c r="K4">
        <v>0</v>
      </c>
      <c r="L4">
        <v>373.18811862904624</v>
      </c>
      <c r="M4">
        <v>0</v>
      </c>
      <c r="N4">
        <v>100</v>
      </c>
      <c r="O4">
        <v>0</v>
      </c>
      <c r="P4">
        <v>0</v>
      </c>
      <c r="Q4">
        <v>29096</v>
      </c>
    </row>
    <row r="5" spans="1:17" x14ac:dyDescent="0.2">
      <c r="A5">
        <v>0.38863638077269907</v>
      </c>
      <c r="B5" s="7">
        <v>2.2792073230000001</v>
      </c>
      <c r="C5">
        <v>8.7895206666666656E-2</v>
      </c>
      <c r="D5" s="2">
        <v>1728.91</v>
      </c>
      <c r="E5" s="2">
        <v>3373.57</v>
      </c>
      <c r="F5" s="2">
        <v>0.10914600000000001</v>
      </c>
      <c r="G5">
        <v>18.038485607398965</v>
      </c>
      <c r="H5">
        <v>0.21337710299548623</v>
      </c>
      <c r="I5">
        <v>0.78662289700451371</v>
      </c>
      <c r="J5">
        <v>0</v>
      </c>
      <c r="K5">
        <v>0</v>
      </c>
      <c r="L5">
        <v>386.36157227249629</v>
      </c>
      <c r="M5">
        <v>1.3021</v>
      </c>
      <c r="N5">
        <v>0</v>
      </c>
      <c r="O5">
        <v>100</v>
      </c>
      <c r="P5">
        <v>768</v>
      </c>
      <c r="Q5">
        <v>768</v>
      </c>
    </row>
    <row r="6" spans="1:17" x14ac:dyDescent="0.2">
      <c r="A6">
        <v>0.22819444226721941</v>
      </c>
      <c r="B6" s="7">
        <v>5.8646531399999997</v>
      </c>
      <c r="C6">
        <v>-8.694466666666667E-2</v>
      </c>
      <c r="D6" s="2">
        <v>1727.4</v>
      </c>
      <c r="E6" s="2">
        <v>3379.95</v>
      </c>
      <c r="F6" s="2">
        <v>0.124931</v>
      </c>
      <c r="G6">
        <v>18.121030068345359</v>
      </c>
      <c r="H6">
        <v>0.293812976739806</v>
      </c>
      <c r="I6">
        <v>0.706187023260194</v>
      </c>
      <c r="J6">
        <v>0</v>
      </c>
      <c r="K6">
        <v>0</v>
      </c>
      <c r="L6">
        <v>393.70636012279959</v>
      </c>
      <c r="M6">
        <v>1.1483000000000001</v>
      </c>
      <c r="N6">
        <v>0.03</v>
      </c>
      <c r="O6">
        <v>96.33</v>
      </c>
      <c r="P6">
        <v>859.01</v>
      </c>
      <c r="Q6">
        <v>859.01</v>
      </c>
    </row>
    <row r="7" spans="1:17" x14ac:dyDescent="0.2">
      <c r="A7">
        <v>0.34319443835152502</v>
      </c>
      <c r="B7" s="7">
        <v>4.1164036360000003</v>
      </c>
      <c r="C7">
        <v>-1.4727893333333334E-2</v>
      </c>
      <c r="D7" s="2">
        <v>1730.02</v>
      </c>
      <c r="E7" s="2">
        <v>3380.11</v>
      </c>
      <c r="F7" s="2">
        <v>0.12307800000000001</v>
      </c>
      <c r="G7">
        <v>18.151059030612071</v>
      </c>
      <c r="H7">
        <v>0.43273231622746183</v>
      </c>
      <c r="I7">
        <v>0.56726768377253811</v>
      </c>
      <c r="J7">
        <v>0</v>
      </c>
      <c r="K7">
        <v>0</v>
      </c>
      <c r="L7">
        <v>399.23546686973521</v>
      </c>
      <c r="M7">
        <v>0.94669999999999999</v>
      </c>
      <c r="N7">
        <v>0.15</v>
      </c>
      <c r="O7">
        <v>90.45</v>
      </c>
      <c r="P7">
        <v>995.04</v>
      </c>
      <c r="Q7">
        <v>995.04</v>
      </c>
    </row>
    <row r="8" spans="1:17" x14ac:dyDescent="0.2">
      <c r="A8">
        <v>4.3888888888888893</v>
      </c>
      <c r="B8" s="7">
        <v>2.5408244839999998</v>
      </c>
      <c r="C8">
        <v>0.34609700000000004</v>
      </c>
      <c r="D8" s="2">
        <v>1728.12</v>
      </c>
      <c r="E8" s="2">
        <v>3331.91</v>
      </c>
      <c r="F8" s="2">
        <v>0.214861</v>
      </c>
      <c r="G8">
        <v>17.459109887755986</v>
      </c>
      <c r="H8">
        <v>0.19415333701047988</v>
      </c>
      <c r="I8">
        <v>0.80584666298952012</v>
      </c>
      <c r="J8">
        <v>0</v>
      </c>
      <c r="K8">
        <v>6.2366034684313926E-2</v>
      </c>
      <c r="L8">
        <v>360.85355554755529</v>
      </c>
      <c r="M8">
        <v>0</v>
      </c>
      <c r="N8">
        <v>33.520000000000003</v>
      </c>
      <c r="O8">
        <v>66.48</v>
      </c>
      <c r="P8">
        <v>54015778.060000002</v>
      </c>
      <c r="Q8">
        <v>54015778.060000002</v>
      </c>
    </row>
    <row r="9" spans="1:17" x14ac:dyDescent="0.2">
      <c r="A9">
        <v>9.3504165609677781</v>
      </c>
      <c r="B9" s="7">
        <v>7.2179430379999996</v>
      </c>
      <c r="C9">
        <v>6.4024600000000001E-2</v>
      </c>
      <c r="D9" s="2">
        <v>1719.12</v>
      </c>
      <c r="E9" s="2">
        <v>3332.06</v>
      </c>
      <c r="F9" s="2">
        <v>0.25660899999999998</v>
      </c>
      <c r="G9">
        <v>17.482325569503967</v>
      </c>
      <c r="H9">
        <v>0.26913029627269835</v>
      </c>
      <c r="I9">
        <v>0.73086970372730165</v>
      </c>
      <c r="J9">
        <v>0</v>
      </c>
      <c r="K9">
        <v>7.3017711568282032E-2</v>
      </c>
      <c r="L9">
        <v>365.80907845485842</v>
      </c>
      <c r="M9">
        <v>0</v>
      </c>
      <c r="N9">
        <v>100</v>
      </c>
      <c r="O9">
        <v>0</v>
      </c>
      <c r="P9">
        <v>0</v>
      </c>
      <c r="Q9">
        <v>88698</v>
      </c>
    </row>
    <row r="10" spans="1:17" x14ac:dyDescent="0.2">
      <c r="A10">
        <v>9.1726390851868338</v>
      </c>
      <c r="B10" s="7">
        <v>8.357201796</v>
      </c>
      <c r="C10">
        <v>0.15700066666666668</v>
      </c>
      <c r="D10" s="2">
        <v>1719.83</v>
      </c>
      <c r="E10" s="2">
        <v>3331.75</v>
      </c>
      <c r="F10" s="2">
        <v>0.26479200000000003</v>
      </c>
      <c r="G10">
        <v>17.456846423496984</v>
      </c>
      <c r="H10">
        <v>0.39819004524886881</v>
      </c>
      <c r="I10">
        <v>0.60180995475113119</v>
      </c>
      <c r="J10">
        <v>0</v>
      </c>
      <c r="K10">
        <v>8.8316499640672841E-2</v>
      </c>
      <c r="L10">
        <v>369.56397810215947</v>
      </c>
      <c r="M10">
        <v>0</v>
      </c>
      <c r="N10">
        <v>100</v>
      </c>
      <c r="O10">
        <v>0</v>
      </c>
      <c r="P10">
        <v>0</v>
      </c>
      <c r="Q10">
        <v>36953</v>
      </c>
    </row>
    <row r="11" spans="1:17" x14ac:dyDescent="0.2">
      <c r="A11">
        <v>0.87555559972922226</v>
      </c>
      <c r="B11" s="7">
        <v>5.2024880080000004</v>
      </c>
      <c r="C11">
        <v>0.192666</v>
      </c>
      <c r="D11" s="2">
        <v>1733.4</v>
      </c>
      <c r="E11" s="2">
        <v>3376.1</v>
      </c>
      <c r="F11" s="2">
        <v>9.1082700000000003E-2</v>
      </c>
      <c r="G11">
        <v>17.682344703712726</v>
      </c>
      <c r="H11">
        <v>0.26586102719033233</v>
      </c>
      <c r="I11">
        <v>0.73413897280966767</v>
      </c>
      <c r="J11">
        <v>0</v>
      </c>
      <c r="K11">
        <v>8.8649902527047783E-2</v>
      </c>
      <c r="L11">
        <v>382.15912976489358</v>
      </c>
      <c r="M11">
        <v>1.2161</v>
      </c>
      <c r="N11">
        <v>0</v>
      </c>
      <c r="O11">
        <v>100</v>
      </c>
      <c r="P11">
        <v>822.3</v>
      </c>
      <c r="Q11">
        <v>822.3</v>
      </c>
    </row>
    <row r="12" spans="1:17" x14ac:dyDescent="0.2">
      <c r="A12">
        <v>0.7863888620502445</v>
      </c>
      <c r="B12" s="7">
        <v>6.5157108590000004</v>
      </c>
      <c r="C12">
        <v>0.56664866666666669</v>
      </c>
      <c r="D12" s="2">
        <v>1729.98</v>
      </c>
      <c r="E12" s="2">
        <v>3375.49</v>
      </c>
      <c r="F12" s="2">
        <v>0.16317599999999999</v>
      </c>
      <c r="G12">
        <v>17.706869803372069</v>
      </c>
      <c r="H12">
        <v>0.36351118760757317</v>
      </c>
      <c r="I12">
        <v>0.63648881239242683</v>
      </c>
      <c r="J12">
        <v>0</v>
      </c>
      <c r="K12">
        <v>0.10273683873648667</v>
      </c>
      <c r="L12">
        <v>388.31173313678835</v>
      </c>
      <c r="M12">
        <v>1.0649999999999999</v>
      </c>
      <c r="N12">
        <v>0.03</v>
      </c>
      <c r="O12">
        <v>96.31</v>
      </c>
      <c r="P12">
        <v>926.72</v>
      </c>
      <c r="Q12">
        <v>926.72</v>
      </c>
    </row>
    <row r="13" spans="1:17" x14ac:dyDescent="0.2">
      <c r="A13">
        <v>1.4344444498419777</v>
      </c>
      <c r="B13" s="7">
        <v>12.30516282</v>
      </c>
      <c r="C13">
        <v>0.63528933333333326</v>
      </c>
      <c r="D13" s="2">
        <v>1735.18</v>
      </c>
      <c r="E13" s="2">
        <v>3376.14</v>
      </c>
      <c r="F13" s="2">
        <v>0.15006800000000001</v>
      </c>
      <c r="G13">
        <v>17.660923069762273</v>
      </c>
      <c r="H13">
        <v>0.52800000000000002</v>
      </c>
      <c r="I13">
        <v>0.47199999999999998</v>
      </c>
      <c r="J13">
        <v>0</v>
      </c>
      <c r="K13">
        <v>0.12264593141828058</v>
      </c>
      <c r="L13">
        <v>392.36319387407741</v>
      </c>
      <c r="M13">
        <v>0.87160000000000004</v>
      </c>
      <c r="N13">
        <v>0.19</v>
      </c>
      <c r="O13">
        <v>90.34</v>
      </c>
      <c r="P13">
        <v>1081.1600000000001</v>
      </c>
      <c r="Q13">
        <v>1081.1600000000001</v>
      </c>
    </row>
    <row r="14" spans="1:17" x14ac:dyDescent="0.2">
      <c r="A14">
        <v>6.3662500017218893</v>
      </c>
      <c r="B14" s="7">
        <v>20.641691789999999</v>
      </c>
      <c r="C14">
        <v>4.9342666666666667E-2</v>
      </c>
      <c r="D14" s="2">
        <v>1729.34</v>
      </c>
      <c r="E14" s="2">
        <v>3309.7</v>
      </c>
      <c r="F14" s="2">
        <v>0.26156099999999999</v>
      </c>
      <c r="G14">
        <v>17.900754645298296</v>
      </c>
      <c r="H14">
        <v>0.17814953408173745</v>
      </c>
      <c r="I14">
        <v>0.82185046591826261</v>
      </c>
      <c r="J14">
        <v>1.1337069907476557E-2</v>
      </c>
      <c r="K14">
        <v>0</v>
      </c>
      <c r="L14">
        <v>367.53414848581605</v>
      </c>
      <c r="M14">
        <v>0</v>
      </c>
      <c r="N14">
        <v>39.26</v>
      </c>
      <c r="O14">
        <v>60.74</v>
      </c>
      <c r="P14">
        <v>43312940.82</v>
      </c>
      <c r="Q14">
        <v>43312940.82</v>
      </c>
    </row>
    <row r="15" spans="1:17" x14ac:dyDescent="0.2">
      <c r="A15">
        <v>13.707083132531888</v>
      </c>
      <c r="B15" s="7">
        <v>19.720263930000002</v>
      </c>
      <c r="C15">
        <v>5.5913533333333328E-2</v>
      </c>
      <c r="D15" s="2">
        <v>1726.05</v>
      </c>
      <c r="E15" s="2">
        <v>3312.65</v>
      </c>
      <c r="F15" s="2">
        <v>0.312108</v>
      </c>
      <c r="G15">
        <v>18.002172205375985</v>
      </c>
      <c r="H15">
        <v>0.2473680635739999</v>
      </c>
      <c r="I15">
        <v>0.75263193642600013</v>
      </c>
      <c r="J15">
        <v>1.3451977875404572E-2</v>
      </c>
      <c r="K15">
        <v>0</v>
      </c>
      <c r="L15">
        <v>374.05011291813128</v>
      </c>
      <c r="M15">
        <v>0</v>
      </c>
      <c r="N15">
        <v>100</v>
      </c>
      <c r="O15">
        <v>0</v>
      </c>
      <c r="P15">
        <v>0</v>
      </c>
      <c r="Q15">
        <v>73697</v>
      </c>
    </row>
    <row r="16" spans="1:17" x14ac:dyDescent="0.2">
      <c r="A16">
        <v>3.8572222822242335</v>
      </c>
      <c r="B16" s="7">
        <v>31.13352458</v>
      </c>
      <c r="C16">
        <v>3.4889400000000001E-2</v>
      </c>
      <c r="D16" s="2">
        <v>1729.32</v>
      </c>
      <c r="E16" s="2">
        <v>3307.36</v>
      </c>
      <c r="F16" s="2">
        <v>0.38688899999999998</v>
      </c>
      <c r="G16">
        <v>18.085782044646237</v>
      </c>
      <c r="H16">
        <v>0.3704833984375</v>
      </c>
      <c r="I16">
        <v>0.6295166015625</v>
      </c>
      <c r="J16">
        <v>1.6591780085630243E-2</v>
      </c>
      <c r="K16">
        <v>0</v>
      </c>
      <c r="L16">
        <v>379.94801064782467</v>
      </c>
      <c r="M16">
        <v>0</v>
      </c>
      <c r="N16">
        <v>100</v>
      </c>
      <c r="O16">
        <v>0</v>
      </c>
      <c r="P16">
        <v>0</v>
      </c>
      <c r="Q16">
        <v>31117</v>
      </c>
    </row>
    <row r="17" spans="1:17" x14ac:dyDescent="0.2">
      <c r="A17">
        <v>0.60916666148437226</v>
      </c>
      <c r="B17" s="7">
        <v>6.1201309699999999</v>
      </c>
      <c r="C17">
        <v>0.17346900000000001</v>
      </c>
      <c r="D17" s="2">
        <v>1736.01</v>
      </c>
      <c r="E17" s="2">
        <v>3351.56</v>
      </c>
      <c r="F17" s="2">
        <v>8.7945200000000001E-2</v>
      </c>
      <c r="G17">
        <v>18.331854579269276</v>
      </c>
      <c r="H17">
        <v>0.24574898785425098</v>
      </c>
      <c r="I17">
        <v>0.75425101214574908</v>
      </c>
      <c r="J17">
        <v>1.675547922079829E-2</v>
      </c>
      <c r="K17">
        <v>0</v>
      </c>
      <c r="L17">
        <v>393.26798717270873</v>
      </c>
      <c r="M17">
        <v>0</v>
      </c>
      <c r="N17">
        <v>8.59</v>
      </c>
      <c r="O17">
        <v>91.41</v>
      </c>
      <c r="P17">
        <v>98096952.290000007</v>
      </c>
      <c r="Q17">
        <v>98096952.290000007</v>
      </c>
    </row>
    <row r="18" spans="1:17" x14ac:dyDescent="0.2">
      <c r="A18">
        <v>0.92888882176743892</v>
      </c>
      <c r="B18" s="7">
        <v>13.57945529</v>
      </c>
      <c r="C18">
        <v>0.51480866666666658</v>
      </c>
      <c r="D18" s="2">
        <v>1734.13</v>
      </c>
      <c r="E18" s="2">
        <v>3348.1</v>
      </c>
      <c r="F18" s="2">
        <v>0.11472499999999999</v>
      </c>
      <c r="G18">
        <v>18.465016613610874</v>
      </c>
      <c r="H18">
        <v>0.33730030099560077</v>
      </c>
      <c r="I18">
        <v>0.66269969900439918</v>
      </c>
      <c r="J18">
        <v>1.9775231583081154E-2</v>
      </c>
      <c r="K18">
        <v>0</v>
      </c>
      <c r="L18">
        <v>401.87440749793939</v>
      </c>
      <c r="M18">
        <v>0</v>
      </c>
      <c r="N18">
        <v>100</v>
      </c>
      <c r="O18">
        <v>0</v>
      </c>
      <c r="P18">
        <v>0</v>
      </c>
      <c r="Q18">
        <v>72997</v>
      </c>
    </row>
    <row r="19" spans="1:17" x14ac:dyDescent="0.2">
      <c r="A19">
        <v>1.1504167276952</v>
      </c>
      <c r="B19" s="7">
        <v>17.542439999999999</v>
      </c>
      <c r="C19">
        <v>0.58713333333333328</v>
      </c>
      <c r="D19" s="2">
        <v>1734.31</v>
      </c>
      <c r="E19" s="2">
        <v>3333.41</v>
      </c>
      <c r="F19" s="2">
        <v>0.118188</v>
      </c>
      <c r="G19">
        <v>18.565764070783608</v>
      </c>
      <c r="H19">
        <v>0.49242833964305027</v>
      </c>
      <c r="I19">
        <v>0.50757166035694978</v>
      </c>
      <c r="J19">
        <v>2.4239693918117658E-2</v>
      </c>
      <c r="K19">
        <v>0</v>
      </c>
      <c r="L19">
        <v>409.15790878075677</v>
      </c>
      <c r="M19">
        <v>0</v>
      </c>
      <c r="N19">
        <v>100</v>
      </c>
      <c r="O19">
        <v>0</v>
      </c>
      <c r="P19">
        <v>0</v>
      </c>
      <c r="Q19">
        <v>30824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FC574-60BC-6041-84A2-F363EAE48058}">
  <dimension ref="A1:R19"/>
  <sheetViews>
    <sheetView workbookViewId="0">
      <selection activeCell="E28" sqref="E28"/>
    </sheetView>
  </sheetViews>
  <sheetFormatPr baseColWidth="10" defaultRowHeight="16" x14ac:dyDescent="0.2"/>
  <sheetData>
    <row r="1" spans="1:18" ht="51" x14ac:dyDescent="0.2">
      <c r="A1" s="1" t="s">
        <v>0</v>
      </c>
      <c r="B1" s="1" t="s">
        <v>1</v>
      </c>
      <c r="C1" s="1" t="s">
        <v>2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4" t="s">
        <v>27</v>
      </c>
      <c r="R1" s="3" t="s">
        <v>28</v>
      </c>
    </row>
    <row r="2" spans="1:18" x14ac:dyDescent="0.2">
      <c r="A2">
        <v>1683</v>
      </c>
      <c r="B2">
        <v>3318</v>
      </c>
      <c r="C2">
        <v>0.38157894736842102</v>
      </c>
      <c r="D2">
        <v>0</v>
      </c>
      <c r="E2">
        <v>0</v>
      </c>
      <c r="F2">
        <v>4464.7594775591015</v>
      </c>
      <c r="G2">
        <v>1007.2415835094732</v>
      </c>
      <c r="H2">
        <v>0</v>
      </c>
      <c r="I2">
        <v>145.26438117373621</v>
      </c>
      <c r="J2">
        <v>145.26438117373621</v>
      </c>
      <c r="K2">
        <v>934.60939292260502</v>
      </c>
      <c r="L2">
        <v>0</v>
      </c>
      <c r="M2">
        <v>168.2</v>
      </c>
      <c r="N2">
        <v>1.04</v>
      </c>
      <c r="O2">
        <v>1000</v>
      </c>
      <c r="P2">
        <v>0.97399999999999998</v>
      </c>
      <c r="Q2" s="5">
        <v>1</v>
      </c>
      <c r="R2">
        <v>13.867702121758425</v>
      </c>
    </row>
    <row r="3" spans="1:18" x14ac:dyDescent="0.2">
      <c r="A3">
        <v>1683</v>
      </c>
      <c r="B3">
        <v>3318</v>
      </c>
      <c r="C3">
        <v>0.35820895522388058</v>
      </c>
      <c r="D3">
        <v>0</v>
      </c>
      <c r="E3">
        <v>0</v>
      </c>
      <c r="F3">
        <v>5302.0988567710401</v>
      </c>
      <c r="G3">
        <v>1173.2404502333693</v>
      </c>
      <c r="H3">
        <v>0</v>
      </c>
      <c r="I3">
        <v>186.12521150592218</v>
      </c>
      <c r="J3">
        <v>203.04568527918781</v>
      </c>
      <c r="K3">
        <v>1088.6380813670412</v>
      </c>
      <c r="L3">
        <v>0</v>
      </c>
      <c r="M3">
        <v>168.2</v>
      </c>
      <c r="N3">
        <v>1.04</v>
      </c>
      <c r="O3">
        <v>1000</v>
      </c>
      <c r="P3">
        <v>0.97399999999999998</v>
      </c>
      <c r="Q3" s="5">
        <v>1.2</v>
      </c>
      <c r="R3">
        <v>13.867702121758425</v>
      </c>
    </row>
    <row r="4" spans="1:18" x14ac:dyDescent="0.2">
      <c r="A4">
        <v>1682</v>
      </c>
      <c r="B4">
        <v>3318</v>
      </c>
      <c r="C4">
        <v>0.34117647058823525</v>
      </c>
      <c r="D4">
        <v>0</v>
      </c>
      <c r="E4">
        <v>0</v>
      </c>
      <c r="F4">
        <v>6530.6734691079528</v>
      </c>
      <c r="G4">
        <v>1404.7510252996785</v>
      </c>
      <c r="H4">
        <v>0</v>
      </c>
      <c r="I4">
        <v>222.8525121555916</v>
      </c>
      <c r="J4">
        <v>243.11183144246354</v>
      </c>
      <c r="K4">
        <v>1303.4544288653187</v>
      </c>
      <c r="L4">
        <v>60.777957860615892</v>
      </c>
      <c r="M4">
        <v>168.2</v>
      </c>
      <c r="N4">
        <v>1.04</v>
      </c>
      <c r="O4">
        <v>1000</v>
      </c>
      <c r="P4">
        <v>0.97399999999999998</v>
      </c>
      <c r="Q4" s="5">
        <v>1.5</v>
      </c>
      <c r="R4">
        <v>13.867702121758425</v>
      </c>
    </row>
    <row r="5" spans="1:18" x14ac:dyDescent="0.2">
      <c r="A5">
        <v>1732</v>
      </c>
      <c r="B5">
        <v>3380</v>
      </c>
      <c r="C5">
        <v>0.11814345991561181</v>
      </c>
      <c r="D5">
        <v>102.58514567090684</v>
      </c>
      <c r="E5">
        <v>0</v>
      </c>
      <c r="F5">
        <v>5070.2982371460821</v>
      </c>
      <c r="G5">
        <v>372.21493103337446</v>
      </c>
      <c r="H5">
        <v>0</v>
      </c>
      <c r="I5">
        <v>256.46286417726708</v>
      </c>
      <c r="J5">
        <v>256.46286417726708</v>
      </c>
      <c r="K5">
        <v>474.80007670428125</v>
      </c>
      <c r="L5">
        <v>0</v>
      </c>
      <c r="M5">
        <v>168.2</v>
      </c>
      <c r="N5">
        <v>1.04</v>
      </c>
      <c r="O5">
        <v>900</v>
      </c>
      <c r="P5">
        <v>1.08</v>
      </c>
      <c r="Q5" s="5">
        <v>1</v>
      </c>
      <c r="R5">
        <v>2.6283511477133343</v>
      </c>
    </row>
    <row r="6" spans="1:18" x14ac:dyDescent="0.2">
      <c r="A6">
        <v>1731</v>
      </c>
      <c r="B6">
        <v>3380</v>
      </c>
      <c r="C6">
        <v>0.10084033613445377</v>
      </c>
      <c r="D6">
        <v>117.71353234767869</v>
      </c>
      <c r="E6">
        <v>0</v>
      </c>
      <c r="F6">
        <v>5959.2790300051811</v>
      </c>
      <c r="G6">
        <v>427.10603019509063</v>
      </c>
      <c r="H6">
        <v>0</v>
      </c>
      <c r="I6">
        <v>317.82653733873246</v>
      </c>
      <c r="J6">
        <v>341.36924380826815</v>
      </c>
      <c r="K6">
        <v>544.81956254276929</v>
      </c>
      <c r="L6">
        <v>0</v>
      </c>
      <c r="M6">
        <v>168.2</v>
      </c>
      <c r="N6">
        <v>1.04</v>
      </c>
      <c r="O6">
        <v>900</v>
      </c>
      <c r="P6">
        <v>1.08</v>
      </c>
      <c r="Q6" s="5">
        <v>1.2</v>
      </c>
      <c r="R6">
        <v>2.6283511477133343</v>
      </c>
    </row>
    <row r="7" spans="1:18" x14ac:dyDescent="0.2">
      <c r="A7">
        <v>1732</v>
      </c>
      <c r="B7">
        <v>3380</v>
      </c>
      <c r="C7">
        <v>0.13122171945701355</v>
      </c>
      <c r="D7">
        <v>138.69625520110955</v>
      </c>
      <c r="E7">
        <v>0</v>
      </c>
      <c r="F7">
        <v>7271.1882407350922</v>
      </c>
      <c r="G7">
        <v>503.23871674248733</v>
      </c>
      <c r="H7">
        <v>0</v>
      </c>
      <c r="I7">
        <v>374.47988904299586</v>
      </c>
      <c r="J7">
        <v>402.21914008321767</v>
      </c>
      <c r="K7">
        <v>641.93497194359691</v>
      </c>
      <c r="L7">
        <v>83.217753120665748</v>
      </c>
      <c r="M7">
        <v>168.2</v>
      </c>
      <c r="N7">
        <v>1.04</v>
      </c>
      <c r="O7">
        <v>900</v>
      </c>
      <c r="P7">
        <v>1.08</v>
      </c>
      <c r="Q7" s="5">
        <v>1.5</v>
      </c>
      <c r="R7">
        <v>2.6283511477133343</v>
      </c>
    </row>
    <row r="8" spans="1:18" x14ac:dyDescent="0.2">
      <c r="A8">
        <v>1721</v>
      </c>
      <c r="B8">
        <v>3332</v>
      </c>
      <c r="C8">
        <v>0.21739130434782611</v>
      </c>
      <c r="D8">
        <v>183.85732671446959</v>
      </c>
      <c r="E8">
        <v>91.928663357234797</v>
      </c>
      <c r="F8">
        <v>5467.0719329871026</v>
      </c>
      <c r="G8">
        <v>1550.6253099612452</v>
      </c>
      <c r="H8">
        <v>0</v>
      </c>
      <c r="I8">
        <v>183.85732671446959</v>
      </c>
      <c r="J8">
        <v>183.85732671446959</v>
      </c>
      <c r="K8">
        <v>1182.9106565323059</v>
      </c>
      <c r="L8">
        <v>0</v>
      </c>
      <c r="M8">
        <v>222.28800000000001</v>
      </c>
      <c r="N8">
        <v>1.056</v>
      </c>
      <c r="O8">
        <v>1000</v>
      </c>
      <c r="P8">
        <v>0.97399999999999998</v>
      </c>
      <c r="Q8" s="5">
        <v>1</v>
      </c>
      <c r="R8">
        <v>13.867702121758425</v>
      </c>
    </row>
    <row r="9" spans="1:18" x14ac:dyDescent="0.2">
      <c r="A9">
        <v>1719</v>
      </c>
      <c r="B9">
        <v>3332</v>
      </c>
      <c r="C9">
        <v>0.25352112676056338</v>
      </c>
      <c r="D9">
        <v>254.85823510672191</v>
      </c>
      <c r="E9">
        <v>106.19093129446745</v>
      </c>
      <c r="F9">
        <v>6400.213283108601</v>
      </c>
      <c r="G9">
        <v>1854.9115558838723</v>
      </c>
      <c r="H9">
        <v>0</v>
      </c>
      <c r="I9">
        <v>233.62004884782843</v>
      </c>
      <c r="J9">
        <v>254.85823510672191</v>
      </c>
      <c r="K9">
        <v>1366.433271929322</v>
      </c>
      <c r="L9">
        <v>0</v>
      </c>
      <c r="M9">
        <v>222.28800000000001</v>
      </c>
      <c r="N9">
        <v>1.056</v>
      </c>
      <c r="O9">
        <v>1000</v>
      </c>
      <c r="P9">
        <v>0.97399999999999998</v>
      </c>
      <c r="Q9" s="5">
        <v>1.2</v>
      </c>
      <c r="R9">
        <v>13.867702121758425</v>
      </c>
    </row>
    <row r="10" spans="1:18" x14ac:dyDescent="0.2">
      <c r="A10">
        <v>1719</v>
      </c>
      <c r="B10">
        <v>3332</v>
      </c>
      <c r="C10">
        <v>0.26470588235294118</v>
      </c>
      <c r="D10">
        <v>377.07390648567122</v>
      </c>
      <c r="E10">
        <v>125.69130216189039</v>
      </c>
      <c r="F10">
        <v>7726.3459636794505</v>
      </c>
      <c r="G10">
        <v>2308.6603974055338</v>
      </c>
      <c r="H10">
        <v>0</v>
      </c>
      <c r="I10">
        <v>276.52086475615891</v>
      </c>
      <c r="J10">
        <v>301.65912518853696</v>
      </c>
      <c r="K10">
        <v>1617.3582355151366</v>
      </c>
      <c r="L10">
        <v>75.414781297134255</v>
      </c>
      <c r="M10">
        <v>222.28800000000001</v>
      </c>
      <c r="N10">
        <v>1.056</v>
      </c>
      <c r="O10">
        <v>1000</v>
      </c>
      <c r="P10">
        <v>0.97399999999999998</v>
      </c>
      <c r="Q10" s="5">
        <v>1.5</v>
      </c>
      <c r="R10">
        <v>13.867702121758425</v>
      </c>
    </row>
    <row r="11" spans="1:18" x14ac:dyDescent="0.2">
      <c r="A11">
        <v>1732</v>
      </c>
      <c r="B11">
        <v>3376</v>
      </c>
      <c r="C11">
        <v>8.9361702127659565E-2</v>
      </c>
      <c r="D11">
        <v>377.64350453172204</v>
      </c>
      <c r="E11">
        <v>125.88116817724068</v>
      </c>
      <c r="F11">
        <v>5969.9480382301117</v>
      </c>
      <c r="G11">
        <v>834.38458556310843</v>
      </c>
      <c r="H11">
        <v>0</v>
      </c>
      <c r="I11">
        <v>314.70292044310168</v>
      </c>
      <c r="J11">
        <v>314.70292044310168</v>
      </c>
      <c r="K11">
        <v>582.62224920862718</v>
      </c>
      <c r="L11">
        <v>0</v>
      </c>
      <c r="M11">
        <v>222.28800000000001</v>
      </c>
      <c r="N11">
        <v>1.056</v>
      </c>
      <c r="O11">
        <v>900</v>
      </c>
      <c r="P11">
        <v>1.08</v>
      </c>
      <c r="Q11" s="5">
        <v>1</v>
      </c>
      <c r="R11">
        <v>2.6283511477133343</v>
      </c>
    </row>
    <row r="12" spans="1:18" x14ac:dyDescent="0.2">
      <c r="A12">
        <v>1732</v>
      </c>
      <c r="B12">
        <v>3374</v>
      </c>
      <c r="C12">
        <v>0.1139240506329114</v>
      </c>
      <c r="D12">
        <v>487.66494549627078</v>
      </c>
      <c r="E12">
        <v>143.43086632243256</v>
      </c>
      <c r="F12">
        <v>6916.9918553786592</v>
      </c>
      <c r="G12">
        <v>1036.7686671992733</v>
      </c>
      <c r="H12">
        <v>0</v>
      </c>
      <c r="I12">
        <v>387.26333907056801</v>
      </c>
      <c r="J12">
        <v>415.94951233505446</v>
      </c>
      <c r="K12">
        <v>663.84841476094869</v>
      </c>
      <c r="L12">
        <v>0</v>
      </c>
      <c r="M12">
        <v>222.28800000000001</v>
      </c>
      <c r="N12">
        <v>1.056</v>
      </c>
      <c r="O12">
        <v>900</v>
      </c>
      <c r="P12">
        <v>1.08</v>
      </c>
      <c r="Q12" s="5">
        <v>1.2</v>
      </c>
      <c r="R12">
        <v>2.6283511477133343</v>
      </c>
    </row>
    <row r="13" spans="1:18" x14ac:dyDescent="0.2">
      <c r="A13">
        <v>1733</v>
      </c>
      <c r="B13">
        <v>3376</v>
      </c>
      <c r="C13">
        <v>0.12264150943396226</v>
      </c>
      <c r="D13">
        <v>666.66666666666663</v>
      </c>
      <c r="E13">
        <v>166.66666666666666</v>
      </c>
      <c r="F13">
        <v>8237.5445359500027</v>
      </c>
      <c r="G13">
        <v>1354.7251912855559</v>
      </c>
      <c r="H13">
        <v>0</v>
      </c>
      <c r="I13">
        <v>450</v>
      </c>
      <c r="J13">
        <v>483.33333333333331</v>
      </c>
      <c r="K13">
        <v>771.39185795222238</v>
      </c>
      <c r="L13">
        <v>100.00000000000001</v>
      </c>
      <c r="M13">
        <v>222.28800000000001</v>
      </c>
      <c r="N13">
        <v>1.056</v>
      </c>
      <c r="O13">
        <v>900</v>
      </c>
      <c r="P13">
        <v>1.08</v>
      </c>
      <c r="Q13" s="5">
        <v>1.5</v>
      </c>
      <c r="R13">
        <v>2.6283511477133343</v>
      </c>
    </row>
    <row r="14" spans="1:18" x14ac:dyDescent="0.2">
      <c r="A14">
        <v>1732</v>
      </c>
      <c r="B14">
        <v>3308</v>
      </c>
      <c r="C14">
        <v>0.24050632911392403</v>
      </c>
      <c r="D14">
        <v>0</v>
      </c>
      <c r="E14">
        <v>0</v>
      </c>
      <c r="F14">
        <v>4070.0571198938801</v>
      </c>
      <c r="G14">
        <v>1090.8872347023571</v>
      </c>
      <c r="H14">
        <v>73.372954728886924</v>
      </c>
      <c r="I14">
        <v>146.74590945777385</v>
      </c>
      <c r="J14">
        <v>146.74590945777385</v>
      </c>
      <c r="K14">
        <v>944.14132524458319</v>
      </c>
      <c r="L14">
        <v>0</v>
      </c>
      <c r="M14">
        <v>174.2</v>
      </c>
      <c r="N14">
        <v>1.214</v>
      </c>
      <c r="O14">
        <v>1000</v>
      </c>
      <c r="P14">
        <v>0.97399999999999998</v>
      </c>
      <c r="Q14" s="5">
        <v>1</v>
      </c>
      <c r="R14">
        <v>13.867702121758425</v>
      </c>
    </row>
    <row r="15" spans="1:18" x14ac:dyDescent="0.2">
      <c r="A15">
        <v>1731</v>
      </c>
      <c r="B15">
        <v>3304</v>
      </c>
      <c r="C15">
        <v>0.31578947368421051</v>
      </c>
      <c r="D15">
        <v>0</v>
      </c>
      <c r="E15">
        <v>0</v>
      </c>
      <c r="F15">
        <v>4709.5368205387585</v>
      </c>
      <c r="G15">
        <v>1279.2656151734045</v>
      </c>
      <c r="H15">
        <v>101.88141003871495</v>
      </c>
      <c r="I15">
        <v>186.78258507097743</v>
      </c>
      <c r="J15">
        <v>203.76282007742989</v>
      </c>
      <c r="K15">
        <v>1092.4830301024272</v>
      </c>
      <c r="L15">
        <v>0</v>
      </c>
      <c r="M15">
        <v>174.2</v>
      </c>
      <c r="N15">
        <v>1.214</v>
      </c>
      <c r="O15">
        <v>1000</v>
      </c>
      <c r="P15">
        <v>0.97399999999999998</v>
      </c>
      <c r="Q15" s="5">
        <v>1.2</v>
      </c>
      <c r="R15">
        <v>13.867702121758425</v>
      </c>
    </row>
    <row r="16" spans="1:18" x14ac:dyDescent="0.2">
      <c r="A16">
        <v>1732</v>
      </c>
      <c r="B16">
        <v>3308</v>
      </c>
      <c r="C16">
        <v>0.40350877192982454</v>
      </c>
      <c r="D16">
        <v>0</v>
      </c>
      <c r="E16">
        <v>0</v>
      </c>
      <c r="F16">
        <v>5642.7824388665467</v>
      </c>
      <c r="G16">
        <v>1563.2835003416367</v>
      </c>
      <c r="H16">
        <v>152.587890625</v>
      </c>
      <c r="I16">
        <v>223.79557291666671</v>
      </c>
      <c r="J16">
        <v>244.140625</v>
      </c>
      <c r="K16">
        <v>1308.9703492999699</v>
      </c>
      <c r="L16">
        <v>61.035156250000014</v>
      </c>
      <c r="M16">
        <v>174.2</v>
      </c>
      <c r="N16">
        <v>1.214</v>
      </c>
      <c r="O16">
        <v>1000</v>
      </c>
      <c r="P16">
        <v>0.97399999999999998</v>
      </c>
      <c r="Q16" s="5">
        <v>1.5</v>
      </c>
      <c r="R16">
        <v>13.867702121758425</v>
      </c>
    </row>
    <row r="17" spans="1:18" x14ac:dyDescent="0.2">
      <c r="A17">
        <v>1733</v>
      </c>
      <c r="B17">
        <v>3352</v>
      </c>
      <c r="C17">
        <v>8.974358974358973E-2</v>
      </c>
      <c r="D17">
        <v>101.21457489878543</v>
      </c>
      <c r="E17">
        <v>0</v>
      </c>
      <c r="F17">
        <v>4395.2699611032403</v>
      </c>
      <c r="G17">
        <v>468.45659389811073</v>
      </c>
      <c r="H17">
        <v>101.21457489878543</v>
      </c>
      <c r="I17">
        <v>253.03643724696357</v>
      </c>
      <c r="J17">
        <v>253.03643724696357</v>
      </c>
      <c r="K17">
        <v>468.45659389811073</v>
      </c>
      <c r="L17">
        <v>0</v>
      </c>
      <c r="M17">
        <v>174.2</v>
      </c>
      <c r="N17">
        <v>1.214</v>
      </c>
      <c r="O17">
        <v>900</v>
      </c>
      <c r="P17">
        <v>1.08</v>
      </c>
      <c r="Q17" s="5">
        <v>1</v>
      </c>
      <c r="R17">
        <v>2.6283511477133343</v>
      </c>
    </row>
    <row r="18" spans="1:18" x14ac:dyDescent="0.2">
      <c r="A18">
        <v>1731</v>
      </c>
      <c r="B18">
        <v>3348</v>
      </c>
      <c r="C18">
        <v>0.11199999999999999</v>
      </c>
      <c r="D18">
        <v>115.76753878212547</v>
      </c>
      <c r="E18">
        <v>0</v>
      </c>
      <c r="F18">
        <v>5027.2363065177133</v>
      </c>
      <c r="G18">
        <v>558.96632874662339</v>
      </c>
      <c r="H18">
        <v>138.92104653855057</v>
      </c>
      <c r="I18">
        <v>312.5723547117388</v>
      </c>
      <c r="J18">
        <v>335.72586246816383</v>
      </c>
      <c r="K18">
        <v>535.81282099019836</v>
      </c>
      <c r="L18">
        <v>0</v>
      </c>
      <c r="M18">
        <v>174.2</v>
      </c>
      <c r="N18">
        <v>1.214</v>
      </c>
      <c r="O18">
        <v>900</v>
      </c>
      <c r="P18">
        <v>1.08</v>
      </c>
      <c r="Q18" s="5">
        <v>1.2</v>
      </c>
      <c r="R18">
        <v>2.6283511477133343</v>
      </c>
    </row>
    <row r="19" spans="1:18" x14ac:dyDescent="0.2">
      <c r="A19">
        <v>1731</v>
      </c>
      <c r="B19">
        <v>3354</v>
      </c>
      <c r="C19">
        <v>0.11242603550295859</v>
      </c>
      <c r="D19">
        <v>135.20822065981611</v>
      </c>
      <c r="E19">
        <v>0</v>
      </c>
      <c r="F19">
        <v>5871.4531119118465</v>
      </c>
      <c r="G19">
        <v>693.39523360104567</v>
      </c>
      <c r="H19">
        <v>202.81233098972419</v>
      </c>
      <c r="I19">
        <v>365.06219578150359</v>
      </c>
      <c r="J19">
        <v>392.10383991346674</v>
      </c>
      <c r="K19">
        <v>625.79112327113774</v>
      </c>
      <c r="L19">
        <v>81.124932395889672</v>
      </c>
      <c r="M19">
        <v>174.2</v>
      </c>
      <c r="N19">
        <v>1.214</v>
      </c>
      <c r="O19">
        <v>900</v>
      </c>
      <c r="P19">
        <v>1.08</v>
      </c>
      <c r="Q19" s="5">
        <v>1.5</v>
      </c>
      <c r="R19">
        <v>2.6283511477133343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44964-CADC-7C43-8C2E-479823F0569C}">
  <dimension ref="A1:K19"/>
  <sheetViews>
    <sheetView workbookViewId="0">
      <selection activeCell="H12" sqref="H12"/>
    </sheetView>
  </sheetViews>
  <sheetFormatPr baseColWidth="10" defaultRowHeight="16" x14ac:dyDescent="0.2"/>
  <cols>
    <col min="1" max="1" width="19.5" bestFit="1" customWidth="1"/>
    <col min="2" max="2" width="24.6640625" bestFit="1" customWidth="1"/>
    <col min="3" max="3" width="14.6640625" bestFit="1" customWidth="1"/>
  </cols>
  <sheetData>
    <row r="1" spans="1:11" x14ac:dyDescent="0.2">
      <c r="A1" s="1" t="s">
        <v>47</v>
      </c>
      <c r="B1" s="1" t="s">
        <v>48</v>
      </c>
      <c r="C1" s="1" t="s">
        <v>49</v>
      </c>
      <c r="D1" s="1" t="s">
        <v>44</v>
      </c>
      <c r="E1" s="1" t="s">
        <v>45</v>
      </c>
      <c r="F1" s="1" t="s">
        <v>46</v>
      </c>
      <c r="I1" s="1"/>
      <c r="J1" s="1"/>
      <c r="K1" s="1"/>
    </row>
    <row r="2" spans="1:11" x14ac:dyDescent="0.2">
      <c r="A2">
        <v>5.7211112644937225</v>
      </c>
      <c r="B2" s="7">
        <v>17.997674159999999</v>
      </c>
      <c r="C2">
        <v>4.0628400000000002E-2</v>
      </c>
      <c r="D2">
        <v>1</v>
      </c>
      <c r="E2">
        <v>4</v>
      </c>
      <c r="F2">
        <v>1</v>
      </c>
      <c r="J2" s="7"/>
    </row>
    <row r="3" spans="1:11" x14ac:dyDescent="0.2">
      <c r="A3">
        <v>7.7797224124272777</v>
      </c>
      <c r="B3" s="7">
        <v>23.940608189999999</v>
      </c>
      <c r="C3">
        <v>2.2374266666666667E-2</v>
      </c>
      <c r="D3">
        <v>1</v>
      </c>
      <c r="E3">
        <v>4</v>
      </c>
      <c r="F3">
        <v>1.2</v>
      </c>
      <c r="J3" s="7"/>
    </row>
    <row r="4" spans="1:11" x14ac:dyDescent="0.2">
      <c r="A4">
        <v>5.4716666539510115</v>
      </c>
      <c r="B4" s="7">
        <v>21.963791319999999</v>
      </c>
      <c r="C4">
        <v>2.2475033333333335E-2</v>
      </c>
      <c r="D4">
        <v>1</v>
      </c>
      <c r="E4">
        <v>4</v>
      </c>
      <c r="F4">
        <v>1.5</v>
      </c>
      <c r="J4" s="7"/>
    </row>
    <row r="5" spans="1:11" x14ac:dyDescent="0.2">
      <c r="A5">
        <v>0.38863638077269907</v>
      </c>
      <c r="B5" s="7">
        <v>2.2792073230000001</v>
      </c>
      <c r="C5">
        <v>8.7895206666666656E-2</v>
      </c>
      <c r="D5">
        <v>1</v>
      </c>
      <c r="E5">
        <v>5</v>
      </c>
      <c r="F5">
        <v>1</v>
      </c>
      <c r="J5" s="7"/>
    </row>
    <row r="6" spans="1:11" x14ac:dyDescent="0.2">
      <c r="A6">
        <v>0.22819444226721941</v>
      </c>
      <c r="B6" s="7">
        <v>5.8646531399999997</v>
      </c>
      <c r="C6">
        <v>-8.694466666666667E-2</v>
      </c>
      <c r="D6">
        <v>1</v>
      </c>
      <c r="E6">
        <v>5</v>
      </c>
      <c r="F6">
        <v>1.2</v>
      </c>
      <c r="J6" s="7"/>
    </row>
    <row r="7" spans="1:11" x14ac:dyDescent="0.2">
      <c r="A7">
        <v>0.34319443835152502</v>
      </c>
      <c r="B7" s="7">
        <v>4.1164036360000003</v>
      </c>
      <c r="C7">
        <v>-1.4727893333333334E-2</v>
      </c>
      <c r="D7">
        <v>1</v>
      </c>
      <c r="E7">
        <v>5</v>
      </c>
      <c r="F7">
        <v>1.5</v>
      </c>
      <c r="J7" s="7"/>
    </row>
    <row r="8" spans="1:11" x14ac:dyDescent="0.2">
      <c r="A8">
        <v>4.3888888888888893</v>
      </c>
      <c r="B8" s="7">
        <v>2.5408244839999998</v>
      </c>
      <c r="C8">
        <v>0.34609700000000004</v>
      </c>
      <c r="D8">
        <v>2</v>
      </c>
      <c r="E8">
        <v>4</v>
      </c>
      <c r="F8">
        <v>1</v>
      </c>
      <c r="J8" s="7"/>
    </row>
    <row r="9" spans="1:11" x14ac:dyDescent="0.2">
      <c r="A9">
        <v>9.3504165609677781</v>
      </c>
      <c r="B9" s="7">
        <v>7.2179430379999996</v>
      </c>
      <c r="C9">
        <v>6.4024600000000001E-2</v>
      </c>
      <c r="D9">
        <v>2</v>
      </c>
      <c r="E9">
        <v>4</v>
      </c>
      <c r="F9">
        <v>1.2</v>
      </c>
      <c r="J9" s="7"/>
    </row>
    <row r="10" spans="1:11" x14ac:dyDescent="0.2">
      <c r="A10">
        <v>9.1726390851868338</v>
      </c>
      <c r="B10" s="7">
        <v>8.357201796</v>
      </c>
      <c r="C10">
        <v>0.15700066666666668</v>
      </c>
      <c r="D10">
        <v>2</v>
      </c>
      <c r="E10">
        <v>4</v>
      </c>
      <c r="F10">
        <v>1.5</v>
      </c>
      <c r="J10" s="7"/>
    </row>
    <row r="11" spans="1:11" x14ac:dyDescent="0.2">
      <c r="A11">
        <v>0.87555559972922226</v>
      </c>
      <c r="B11" s="7">
        <v>5.2024880080000004</v>
      </c>
      <c r="C11">
        <v>0.192666</v>
      </c>
      <c r="D11">
        <v>2</v>
      </c>
      <c r="E11">
        <v>5</v>
      </c>
      <c r="F11">
        <v>1</v>
      </c>
      <c r="J11" s="7"/>
    </row>
    <row r="12" spans="1:11" x14ac:dyDescent="0.2">
      <c r="A12">
        <v>0.7863888620502445</v>
      </c>
      <c r="B12" s="7">
        <v>6.5157108590000004</v>
      </c>
      <c r="C12">
        <v>0.56664866666666669</v>
      </c>
      <c r="D12">
        <v>2</v>
      </c>
      <c r="E12">
        <v>5</v>
      </c>
      <c r="F12">
        <v>1.2</v>
      </c>
      <c r="J12" s="7"/>
    </row>
    <row r="13" spans="1:11" x14ac:dyDescent="0.2">
      <c r="A13">
        <v>1.4344444498419777</v>
      </c>
      <c r="B13" s="7">
        <v>12.30516282</v>
      </c>
      <c r="C13">
        <v>0.63528933333333326</v>
      </c>
      <c r="D13">
        <v>2</v>
      </c>
      <c r="E13">
        <v>5</v>
      </c>
      <c r="F13">
        <v>1.5</v>
      </c>
      <c r="J13" s="7"/>
    </row>
    <row r="14" spans="1:11" x14ac:dyDescent="0.2">
      <c r="A14">
        <v>6.3662500017218893</v>
      </c>
      <c r="B14" s="7">
        <v>20.641691789999999</v>
      </c>
      <c r="C14">
        <v>4.9342666666666667E-2</v>
      </c>
      <c r="D14">
        <v>3</v>
      </c>
      <c r="E14">
        <v>4</v>
      </c>
      <c r="F14">
        <v>1</v>
      </c>
      <c r="J14" s="7"/>
    </row>
    <row r="15" spans="1:11" x14ac:dyDescent="0.2">
      <c r="A15">
        <v>13.707083132531888</v>
      </c>
      <c r="B15" s="7">
        <v>19.720263930000002</v>
      </c>
      <c r="C15">
        <v>5.5913533333333328E-2</v>
      </c>
      <c r="D15">
        <v>3</v>
      </c>
      <c r="E15">
        <v>4</v>
      </c>
      <c r="F15">
        <v>1.2</v>
      </c>
      <c r="J15" s="7"/>
    </row>
    <row r="16" spans="1:11" x14ac:dyDescent="0.2">
      <c r="A16">
        <v>3.8572222822242335</v>
      </c>
      <c r="B16" s="7">
        <v>31.13352458</v>
      </c>
      <c r="C16">
        <v>3.4889400000000001E-2</v>
      </c>
      <c r="D16">
        <v>3</v>
      </c>
      <c r="E16">
        <v>4</v>
      </c>
      <c r="F16">
        <v>1.5</v>
      </c>
      <c r="J16" s="7"/>
    </row>
    <row r="17" spans="1:10" x14ac:dyDescent="0.2">
      <c r="A17">
        <v>0.60916666148437226</v>
      </c>
      <c r="B17" s="7">
        <v>6.1201309699999999</v>
      </c>
      <c r="C17">
        <v>0.17346900000000001</v>
      </c>
      <c r="D17">
        <v>3</v>
      </c>
      <c r="E17">
        <v>5</v>
      </c>
      <c r="F17">
        <v>1</v>
      </c>
      <c r="J17" s="7"/>
    </row>
    <row r="18" spans="1:10" x14ac:dyDescent="0.2">
      <c r="A18">
        <v>0.92888882176743892</v>
      </c>
      <c r="B18" s="7">
        <v>13.57945529</v>
      </c>
      <c r="C18">
        <v>0.51480866666666658</v>
      </c>
      <c r="D18">
        <v>3</v>
      </c>
      <c r="E18">
        <v>5</v>
      </c>
      <c r="F18">
        <v>1.2</v>
      </c>
      <c r="J18" s="7"/>
    </row>
    <row r="19" spans="1:10" x14ac:dyDescent="0.2">
      <c r="A19">
        <v>1.1504167276952</v>
      </c>
      <c r="B19" s="7">
        <v>17.542439999999999</v>
      </c>
      <c r="C19">
        <v>0.58713333333333328</v>
      </c>
      <c r="D19">
        <v>3</v>
      </c>
      <c r="E19">
        <v>5</v>
      </c>
      <c r="F19">
        <v>1.5</v>
      </c>
      <c r="J19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3003-A902-4E40-AF0D-5E8BC62D6A35}">
  <dimension ref="A1:H19"/>
  <sheetViews>
    <sheetView workbookViewId="0">
      <selection activeCell="E13" sqref="E13"/>
    </sheetView>
  </sheetViews>
  <sheetFormatPr baseColWidth="10" defaultRowHeight="16" x14ac:dyDescent="0.2"/>
  <cols>
    <col min="1" max="1" width="19.5" bestFit="1" customWidth="1"/>
    <col min="2" max="2" width="24.6640625" bestFit="1" customWidth="1"/>
    <col min="3" max="3" width="14.6640625" bestFit="1" customWidth="1"/>
  </cols>
  <sheetData>
    <row r="1" spans="1:8" x14ac:dyDescent="0.2">
      <c r="A1" s="1" t="s">
        <v>47</v>
      </c>
      <c r="B1" s="1" t="s">
        <v>48</v>
      </c>
      <c r="C1" s="1" t="s">
        <v>49</v>
      </c>
      <c r="F1" s="1"/>
      <c r="G1" s="1"/>
      <c r="H1" s="1"/>
    </row>
    <row r="2" spans="1:8" x14ac:dyDescent="0.2">
      <c r="A2">
        <v>5.7211112644937225</v>
      </c>
      <c r="B2" s="7">
        <v>17.997674159999999</v>
      </c>
      <c r="C2">
        <v>4.0628400000000002E-2</v>
      </c>
      <c r="G2" s="7"/>
    </row>
    <row r="3" spans="1:8" x14ac:dyDescent="0.2">
      <c r="A3">
        <v>7.7797224124272777</v>
      </c>
      <c r="B3" s="7">
        <v>23.940608189999999</v>
      </c>
      <c r="C3">
        <v>2.2374266666666667E-2</v>
      </c>
      <c r="G3" s="7"/>
    </row>
    <row r="4" spans="1:8" x14ac:dyDescent="0.2">
      <c r="A4">
        <v>5.4716666539510115</v>
      </c>
      <c r="B4" s="7">
        <v>21.963791319999999</v>
      </c>
      <c r="C4">
        <v>2.2475033333333335E-2</v>
      </c>
      <c r="G4" s="7"/>
    </row>
    <row r="5" spans="1:8" x14ac:dyDescent="0.2">
      <c r="A5">
        <v>0.38863638077269907</v>
      </c>
      <c r="B5" s="7">
        <v>2.2792073230000001</v>
      </c>
      <c r="C5">
        <v>8.7895206666666656E-2</v>
      </c>
      <c r="G5" s="7"/>
    </row>
    <row r="6" spans="1:8" x14ac:dyDescent="0.2">
      <c r="A6">
        <v>0.22819444226721941</v>
      </c>
      <c r="B6" s="7">
        <v>5.8646531399999997</v>
      </c>
      <c r="C6">
        <v>-8.694466666666667E-2</v>
      </c>
      <c r="G6" s="7"/>
    </row>
    <row r="7" spans="1:8" x14ac:dyDescent="0.2">
      <c r="A7">
        <v>0.34319443835152502</v>
      </c>
      <c r="B7" s="7">
        <v>4.1164036360000003</v>
      </c>
      <c r="C7">
        <v>-1.4727893333333334E-2</v>
      </c>
      <c r="G7" s="7"/>
    </row>
    <row r="8" spans="1:8" x14ac:dyDescent="0.2">
      <c r="A8">
        <v>4.3888888888888893</v>
      </c>
      <c r="B8" s="7">
        <v>2.5408244839999998</v>
      </c>
      <c r="C8">
        <v>0.34609700000000004</v>
      </c>
      <c r="G8" s="7"/>
    </row>
    <row r="9" spans="1:8" x14ac:dyDescent="0.2">
      <c r="A9">
        <v>9.3504165609677781</v>
      </c>
      <c r="B9" s="7">
        <v>7.2179430379999996</v>
      </c>
      <c r="C9">
        <v>6.4024600000000001E-2</v>
      </c>
      <c r="G9" s="7"/>
    </row>
    <row r="10" spans="1:8" x14ac:dyDescent="0.2">
      <c r="A10">
        <v>9.1726390851868338</v>
      </c>
      <c r="B10" s="7">
        <v>8.357201796</v>
      </c>
      <c r="C10">
        <v>0.15700066666666668</v>
      </c>
      <c r="G10" s="7"/>
    </row>
    <row r="11" spans="1:8" x14ac:dyDescent="0.2">
      <c r="A11">
        <v>0.87555559972922226</v>
      </c>
      <c r="B11" s="7">
        <v>5.2024880080000004</v>
      </c>
      <c r="C11">
        <v>0.192666</v>
      </c>
      <c r="G11" s="7"/>
    </row>
    <row r="12" spans="1:8" x14ac:dyDescent="0.2">
      <c r="A12">
        <v>0.7863888620502445</v>
      </c>
      <c r="B12" s="7">
        <v>6.5157108590000004</v>
      </c>
      <c r="C12">
        <v>0.56664866666666669</v>
      </c>
      <c r="G12" s="7"/>
    </row>
    <row r="13" spans="1:8" x14ac:dyDescent="0.2">
      <c r="A13">
        <v>1.4344444498419777</v>
      </c>
      <c r="B13" s="7">
        <v>12.30516282</v>
      </c>
      <c r="C13">
        <v>0.63528933333333326</v>
      </c>
      <c r="G13" s="7"/>
    </row>
    <row r="14" spans="1:8" x14ac:dyDescent="0.2">
      <c r="A14">
        <v>6.3662500017218893</v>
      </c>
      <c r="B14" s="7">
        <v>20.641691789999999</v>
      </c>
      <c r="C14">
        <v>4.9342666666666667E-2</v>
      </c>
      <c r="G14" s="7"/>
    </row>
    <row r="15" spans="1:8" x14ac:dyDescent="0.2">
      <c r="A15">
        <v>13.707083132531888</v>
      </c>
      <c r="B15" s="7">
        <v>19.720263930000002</v>
      </c>
      <c r="C15">
        <v>5.5913533333333328E-2</v>
      </c>
      <c r="G15" s="7"/>
    </row>
    <row r="16" spans="1:8" x14ac:dyDescent="0.2">
      <c r="A16">
        <v>3.8572222822242335</v>
      </c>
      <c r="B16" s="7">
        <v>31.13352458</v>
      </c>
      <c r="C16">
        <v>3.4889400000000001E-2</v>
      </c>
      <c r="G16" s="7"/>
    </row>
    <row r="17" spans="1:7" x14ac:dyDescent="0.2">
      <c r="A17">
        <v>0.60916666148437226</v>
      </c>
      <c r="B17" s="7">
        <v>6.1201309699999999</v>
      </c>
      <c r="C17">
        <v>0.17346900000000001</v>
      </c>
      <c r="G17" s="7"/>
    </row>
    <row r="18" spans="1:7" x14ac:dyDescent="0.2">
      <c r="A18">
        <v>0.92888882176743892</v>
      </c>
      <c r="B18" s="7">
        <v>13.57945529</v>
      </c>
      <c r="C18">
        <v>0.51480866666666658</v>
      </c>
      <c r="G18" s="7"/>
    </row>
    <row r="19" spans="1:7" x14ac:dyDescent="0.2">
      <c r="A19">
        <v>1.1504167276952</v>
      </c>
      <c r="B19" s="7">
        <v>17.542439999999999</v>
      </c>
      <c r="C19">
        <v>0.58713333333333328</v>
      </c>
      <c r="G1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Top-Middle layer</vt:lpstr>
      <vt:lpstr>Middle Bottom layer</vt:lpstr>
      <vt:lpstr>Non-HML</vt:lpstr>
      <vt:lpstr>Lattice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amenon1</dc:creator>
  <cp:lastModifiedBy>Microsoft Office User</cp:lastModifiedBy>
  <dcterms:created xsi:type="dcterms:W3CDTF">2019-01-30T13:59:16Z</dcterms:created>
  <dcterms:modified xsi:type="dcterms:W3CDTF">2025-12-02T22:26:10Z</dcterms:modified>
</cp:coreProperties>
</file>